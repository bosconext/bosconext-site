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費用積算表" sheetId="1" state="visible" r:id="rId3"/>
  </sheets>
  <definedNames>
    <definedName function="false" hidden="false" localSheetId="0" name="_xlnm.Print_Area" vbProcedure="false">費用積算表!$A$1:$I$55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<sst xmlns="http://schemas.openxmlformats.org/spreadsheetml/2006/main" count="146" uniqueCount="128">
  <si>
    <r>
      <rPr>
        <b val="true"/>
        <sz val="16"/>
        <color rgb="FF1F3864"/>
        <rFont val="Noto Sans CJK SC"/>
        <family val="2"/>
      </rPr>
      <t xml:space="preserve">別紙</t>
    </r>
    <r>
      <rPr>
        <b val="true"/>
        <sz val="16"/>
        <color rgb="FF1F3864"/>
        <rFont val="游ゴシック"/>
        <family val="0"/>
        <charset val="1"/>
      </rPr>
      <t xml:space="preserve">2</t>
    </r>
    <r>
      <rPr>
        <b val="true"/>
        <sz val="16"/>
        <color rgb="FF1F3864"/>
        <rFont val="Noto Sans CJK SC"/>
        <family val="2"/>
      </rPr>
      <t xml:space="preserve">　費用積算表</t>
    </r>
  </si>
  <si>
    <t xml:space="preserve">事業名：「どんな壁も、乗り越えられる。」ソーシャルフットボールによる精神障がい当事者の健康づくり・社会参加促進事業</t>
  </si>
  <si>
    <r>
      <rPr>
        <sz val="10"/>
        <rFont val="Noto Sans CJK SC"/>
        <family val="2"/>
      </rPr>
      <t xml:space="preserve">申請団体：</t>
    </r>
    <r>
      <rPr>
        <sz val="10"/>
        <rFont val="游ゴシック"/>
        <family val="0"/>
        <charset val="1"/>
      </rPr>
      <t xml:space="preserve">BOSCO NEXT</t>
    </r>
    <r>
      <rPr>
        <sz val="10"/>
        <rFont val="Noto Sans CJK SC"/>
        <family val="2"/>
      </rPr>
      <t xml:space="preserve">（ボスコ ネクスト）　／　実施期間：</t>
    </r>
    <r>
      <rPr>
        <sz val="10"/>
        <rFont val="游ゴシック"/>
        <family val="0"/>
        <charset val="1"/>
      </rPr>
      <t xml:space="preserve">2027</t>
    </r>
    <r>
      <rPr>
        <sz val="10"/>
        <rFont val="Noto Sans CJK SC"/>
        <family val="2"/>
      </rPr>
      <t xml:space="preserve">年</t>
    </r>
    <r>
      <rPr>
        <sz val="10"/>
        <rFont val="游ゴシック"/>
        <family val="0"/>
        <charset val="1"/>
      </rPr>
      <t xml:space="preserve">4</t>
    </r>
    <r>
      <rPr>
        <sz val="10"/>
        <rFont val="Noto Sans CJK SC"/>
        <family val="2"/>
      </rPr>
      <t xml:space="preserve">月</t>
    </r>
    <r>
      <rPr>
        <sz val="10"/>
        <rFont val="游ゴシック"/>
        <family val="0"/>
        <charset val="1"/>
      </rPr>
      <t xml:space="preserve">1</t>
    </r>
    <r>
      <rPr>
        <sz val="10"/>
        <rFont val="Noto Sans CJK SC"/>
        <family val="2"/>
      </rPr>
      <t xml:space="preserve">日 〜 </t>
    </r>
    <r>
      <rPr>
        <sz val="10"/>
        <rFont val="游ゴシック"/>
        <family val="0"/>
        <charset val="1"/>
      </rPr>
      <t xml:space="preserve">2028</t>
    </r>
    <r>
      <rPr>
        <sz val="10"/>
        <rFont val="Noto Sans CJK SC"/>
        <family val="2"/>
      </rPr>
      <t xml:space="preserve">年</t>
    </r>
    <r>
      <rPr>
        <sz val="10"/>
        <rFont val="游ゴシック"/>
        <family val="0"/>
        <charset val="1"/>
      </rPr>
      <t xml:space="preserve">2</t>
    </r>
    <r>
      <rPr>
        <sz val="10"/>
        <rFont val="Noto Sans CJK SC"/>
        <family val="2"/>
      </rPr>
      <t xml:space="preserve">月</t>
    </r>
    <r>
      <rPr>
        <sz val="10"/>
        <rFont val="游ゴシック"/>
        <family val="0"/>
        <charset val="1"/>
      </rPr>
      <t xml:space="preserve">29</t>
    </r>
    <r>
      <rPr>
        <sz val="10"/>
        <rFont val="Noto Sans CJK SC"/>
        <family val="2"/>
      </rPr>
      <t xml:space="preserve">日</t>
    </r>
  </si>
  <si>
    <t xml:space="preserve">【支出の部】</t>
  </si>
  <si>
    <t xml:space="preserve">（単位：円）</t>
  </si>
  <si>
    <t xml:space="preserve">No.</t>
  </si>
  <si>
    <t xml:space="preserve">費　目</t>
  </si>
  <si>
    <t xml:space="preserve">内訳・積算根拠</t>
  </si>
  <si>
    <t xml:space="preserve">単　価</t>
  </si>
  <si>
    <t xml:space="preserve">数量</t>
  </si>
  <si>
    <t xml:space="preserve">単位</t>
  </si>
  <si>
    <t xml:space="preserve">金　額</t>
  </si>
  <si>
    <t xml:space="preserve">うち
助成金申請額</t>
  </si>
  <si>
    <t xml:space="preserve">自己資金</t>
  </si>
  <si>
    <t xml:space="preserve">1-1</t>
  </si>
  <si>
    <t xml:space="preserve">オープン体験会 会場使用料</t>
  </si>
  <si>
    <r>
      <rPr>
        <sz val="8.5"/>
        <color rgb="FF222222"/>
        <rFont val="Noto Sans CJK SC"/>
        <family val="2"/>
      </rPr>
      <t xml:space="preserve">体育館・フットサルコート（</t>
    </r>
    <r>
      <rPr>
        <sz val="8.5"/>
        <color rgb="FF222222"/>
        <rFont val="游ゴシック"/>
        <family val="0"/>
        <charset val="1"/>
      </rPr>
      <t xml:space="preserve">3</t>
    </r>
    <r>
      <rPr>
        <sz val="8.5"/>
        <color rgb="FF222222"/>
        <rFont val="Noto Sans CJK SC"/>
        <family val="2"/>
      </rPr>
      <t xml:space="preserve">時間／回）　</t>
    </r>
    <r>
      <rPr>
        <sz val="8.5"/>
        <color rgb="FF222222"/>
        <rFont val="游ゴシック"/>
        <family val="0"/>
        <charset val="1"/>
      </rPr>
      <t xml:space="preserve">22,000</t>
    </r>
    <r>
      <rPr>
        <sz val="8.5"/>
        <color rgb="FF222222"/>
        <rFont val="Noto Sans CJK SC"/>
        <family val="2"/>
      </rPr>
      <t xml:space="preserve">円 </t>
    </r>
    <r>
      <rPr>
        <sz val="8.5"/>
        <color rgb="FF222222"/>
        <rFont val="游ゴシック"/>
        <family val="0"/>
        <charset val="1"/>
      </rPr>
      <t xml:space="preserve">× 5</t>
    </r>
    <r>
      <rPr>
        <sz val="8.5"/>
        <color rgb="FF222222"/>
        <rFont val="Noto Sans CJK SC"/>
        <family val="2"/>
      </rPr>
      <t xml:space="preserve">回</t>
    </r>
  </si>
  <si>
    <t xml:space="preserve">回</t>
  </si>
  <si>
    <t xml:space="preserve">1-2</t>
  </si>
  <si>
    <t xml:space="preserve">強化練習会 会場使用料</t>
  </si>
  <si>
    <r>
      <rPr>
        <sz val="8.5"/>
        <color rgb="FF222222"/>
        <rFont val="Noto Sans CJK SC"/>
        <family val="2"/>
      </rPr>
      <t xml:space="preserve">体育館（</t>
    </r>
    <r>
      <rPr>
        <sz val="8.5"/>
        <color rgb="FF222222"/>
        <rFont val="游ゴシック"/>
        <family val="0"/>
        <charset val="1"/>
      </rPr>
      <t xml:space="preserve">3</t>
    </r>
    <r>
      <rPr>
        <sz val="8.5"/>
        <color rgb="FF222222"/>
        <rFont val="Noto Sans CJK SC"/>
        <family val="2"/>
      </rPr>
      <t xml:space="preserve">時間／回）　</t>
    </r>
    <r>
      <rPr>
        <sz val="8.5"/>
        <color rgb="FF222222"/>
        <rFont val="游ゴシック"/>
        <family val="0"/>
        <charset val="1"/>
      </rPr>
      <t xml:space="preserve">15,000</t>
    </r>
    <r>
      <rPr>
        <sz val="8.5"/>
        <color rgb="FF222222"/>
        <rFont val="Noto Sans CJK SC"/>
        <family val="2"/>
      </rPr>
      <t xml:space="preserve">円 </t>
    </r>
    <r>
      <rPr>
        <sz val="8.5"/>
        <color rgb="FF222222"/>
        <rFont val="游ゴシック"/>
        <family val="0"/>
        <charset val="1"/>
      </rPr>
      <t xml:space="preserve">× 12</t>
    </r>
    <r>
      <rPr>
        <sz val="8.5"/>
        <color rgb="FF222222"/>
        <rFont val="Noto Sans CJK SC"/>
        <family val="2"/>
      </rPr>
      <t xml:space="preserve">回（月</t>
    </r>
    <r>
      <rPr>
        <sz val="8.5"/>
        <color rgb="FF222222"/>
        <rFont val="游ゴシック"/>
        <family val="0"/>
        <charset val="1"/>
      </rPr>
      <t xml:space="preserve">1</t>
    </r>
    <r>
      <rPr>
        <sz val="8.5"/>
        <color rgb="FF222222"/>
        <rFont val="Noto Sans CJK SC"/>
        <family val="2"/>
      </rPr>
      <t xml:space="preserve">回）</t>
    </r>
  </si>
  <si>
    <t xml:space="preserve">1-3</t>
  </si>
  <si>
    <t xml:space="preserve">定例練習 会場使用料</t>
  </si>
  <si>
    <r>
      <rPr>
        <sz val="8.5"/>
        <color rgb="FF222222"/>
        <rFont val="Noto Sans CJK SC"/>
        <family val="2"/>
      </rPr>
      <t xml:space="preserve">体育館・コート（</t>
    </r>
    <r>
      <rPr>
        <sz val="8.5"/>
        <color rgb="FF222222"/>
        <rFont val="游ゴシック"/>
        <family val="0"/>
        <charset val="1"/>
      </rPr>
      <t xml:space="preserve">2</t>
    </r>
    <r>
      <rPr>
        <sz val="8.5"/>
        <color rgb="FF222222"/>
        <rFont val="Noto Sans CJK SC"/>
        <family val="2"/>
      </rPr>
      <t xml:space="preserve">時間／回）　</t>
    </r>
    <r>
      <rPr>
        <sz val="8.5"/>
        <color rgb="FF222222"/>
        <rFont val="游ゴシック"/>
        <family val="0"/>
        <charset val="1"/>
      </rPr>
      <t xml:space="preserve">8,000</t>
    </r>
    <r>
      <rPr>
        <sz val="8.5"/>
        <color rgb="FF222222"/>
        <rFont val="Noto Sans CJK SC"/>
        <family val="2"/>
      </rPr>
      <t xml:space="preserve">円 </t>
    </r>
    <r>
      <rPr>
        <sz val="8.5"/>
        <color rgb="FF222222"/>
        <rFont val="游ゴシック"/>
        <family val="0"/>
        <charset val="1"/>
      </rPr>
      <t xml:space="preserve">× 40</t>
    </r>
    <r>
      <rPr>
        <sz val="8.5"/>
        <color rgb="FF222222"/>
        <rFont val="Noto Sans CJK SC"/>
        <family val="2"/>
      </rPr>
      <t xml:space="preserve">回（毎週土曜）</t>
    </r>
  </si>
  <si>
    <t xml:space="preserve">1</t>
  </si>
  <si>
    <t xml:space="preserve">会場使用料　小計</t>
  </si>
  <si>
    <t xml:space="preserve">2-1</t>
  </si>
  <si>
    <t xml:space="preserve">外部指導者 謝金</t>
  </si>
  <si>
    <r>
      <rPr>
        <sz val="8.5"/>
        <color rgb="FF222222"/>
        <rFont val="Noto Sans CJK SC"/>
        <family val="2"/>
      </rPr>
      <t xml:space="preserve">フットサル指導者　</t>
    </r>
    <r>
      <rPr>
        <sz val="8.5"/>
        <color rgb="FF222222"/>
        <rFont val="游ゴシック"/>
        <family val="0"/>
        <charset val="1"/>
      </rPr>
      <t xml:space="preserve">15,000</t>
    </r>
    <r>
      <rPr>
        <sz val="8.5"/>
        <color rgb="FF222222"/>
        <rFont val="Noto Sans CJK SC"/>
        <family val="2"/>
      </rPr>
      <t xml:space="preserve">円 </t>
    </r>
    <r>
      <rPr>
        <sz val="8.5"/>
        <color rgb="FF222222"/>
        <rFont val="游ゴシック"/>
        <family val="0"/>
        <charset val="1"/>
      </rPr>
      <t xml:space="preserve">× 10</t>
    </r>
    <r>
      <rPr>
        <sz val="8.5"/>
        <color rgb="FF222222"/>
        <rFont val="Noto Sans CJK SC"/>
        <family val="2"/>
      </rPr>
      <t xml:space="preserve">回（強化練習会・体験会）</t>
    </r>
  </si>
  <si>
    <t xml:space="preserve">2-2</t>
  </si>
  <si>
    <t xml:space="preserve">専門職アドバイザー 謝金</t>
  </si>
  <si>
    <r>
      <rPr>
        <sz val="8.5"/>
        <color rgb="FF222222"/>
        <rFont val="Noto Sans CJK SC"/>
        <family val="2"/>
      </rPr>
      <t xml:space="preserve">精神保健福祉士等　</t>
    </r>
    <r>
      <rPr>
        <sz val="8.5"/>
        <color rgb="FF222222"/>
        <rFont val="游ゴシック"/>
        <family val="0"/>
        <charset val="1"/>
      </rPr>
      <t xml:space="preserve">10,000</t>
    </r>
    <r>
      <rPr>
        <sz val="8.5"/>
        <color rgb="FF222222"/>
        <rFont val="Noto Sans CJK SC"/>
        <family val="2"/>
      </rPr>
      <t xml:space="preserve">円 </t>
    </r>
    <r>
      <rPr>
        <sz val="8.5"/>
        <color rgb="FF222222"/>
        <rFont val="游ゴシック"/>
        <family val="0"/>
        <charset val="1"/>
      </rPr>
      <t xml:space="preserve">× 5</t>
    </r>
    <r>
      <rPr>
        <sz val="8.5"/>
        <color rgb="FF222222"/>
        <rFont val="Noto Sans CJK SC"/>
        <family val="2"/>
      </rPr>
      <t xml:space="preserve">回（相談対応・安全管理）</t>
    </r>
  </si>
  <si>
    <t xml:space="preserve">2</t>
  </si>
  <si>
    <t xml:space="preserve">謝　金　小計</t>
  </si>
  <si>
    <t xml:space="preserve">3-1</t>
  </si>
  <si>
    <t xml:space="preserve">スポーツ安全保険</t>
  </si>
  <si>
    <r>
      <rPr>
        <sz val="8.5"/>
        <color rgb="FF222222"/>
        <rFont val="Noto Sans CJK SC"/>
        <family val="2"/>
      </rPr>
      <t xml:space="preserve">会員分　</t>
    </r>
    <r>
      <rPr>
        <sz val="8.5"/>
        <color rgb="FF222222"/>
        <rFont val="游ゴシック"/>
        <family val="0"/>
        <charset val="1"/>
      </rPr>
      <t xml:space="preserve">1,850</t>
    </r>
    <r>
      <rPr>
        <sz val="8.5"/>
        <color rgb="FF222222"/>
        <rFont val="Noto Sans CJK SC"/>
        <family val="2"/>
      </rPr>
      <t xml:space="preserve">円 </t>
    </r>
    <r>
      <rPr>
        <sz val="8.5"/>
        <color rgb="FF222222"/>
        <rFont val="游ゴシック"/>
        <family val="0"/>
        <charset val="1"/>
      </rPr>
      <t xml:space="preserve">× 20</t>
    </r>
    <r>
      <rPr>
        <sz val="8.5"/>
        <color rgb="FF222222"/>
        <rFont val="Noto Sans CJK SC"/>
        <family val="2"/>
      </rPr>
      <t xml:space="preserve">名（年額）</t>
    </r>
  </si>
  <si>
    <t xml:space="preserve">名</t>
  </si>
  <si>
    <t xml:space="preserve">3-2</t>
  </si>
  <si>
    <t xml:space="preserve">行事参加者傷害保険</t>
  </si>
  <si>
    <r>
      <rPr>
        <sz val="8.5"/>
        <color rgb="FF222222"/>
        <rFont val="Noto Sans CJK SC"/>
        <family val="2"/>
      </rPr>
      <t xml:space="preserve">オープン体験会の参加者分　</t>
    </r>
    <r>
      <rPr>
        <sz val="8.5"/>
        <color rgb="FF222222"/>
        <rFont val="游ゴシック"/>
        <family val="0"/>
        <charset val="1"/>
      </rPr>
      <t xml:space="preserve">300</t>
    </r>
    <r>
      <rPr>
        <sz val="8.5"/>
        <color rgb="FF222222"/>
        <rFont val="Noto Sans CJK SC"/>
        <family val="2"/>
      </rPr>
      <t xml:space="preserve">円 </t>
    </r>
    <r>
      <rPr>
        <sz val="8.5"/>
        <color rgb="FF222222"/>
        <rFont val="游ゴシック"/>
        <family val="0"/>
        <charset val="1"/>
      </rPr>
      <t xml:space="preserve">× 100</t>
    </r>
    <r>
      <rPr>
        <sz val="8.5"/>
        <color rgb="FF222222"/>
        <rFont val="Noto Sans CJK SC"/>
        <family val="2"/>
      </rPr>
      <t xml:space="preserve">名</t>
    </r>
  </si>
  <si>
    <t xml:space="preserve">3</t>
  </si>
  <si>
    <t xml:space="preserve">保険料　小計</t>
  </si>
  <si>
    <t xml:space="preserve">4-1</t>
  </si>
  <si>
    <t xml:space="preserve">フットサルボール</t>
  </si>
  <si>
    <r>
      <rPr>
        <sz val="8.5"/>
        <color rgb="FF222222"/>
        <rFont val="Noto Sans CJK SC"/>
        <family val="2"/>
      </rPr>
      <t xml:space="preserve">検定球　</t>
    </r>
    <r>
      <rPr>
        <sz val="8.5"/>
        <color rgb="FF222222"/>
        <rFont val="游ゴシック"/>
        <family val="0"/>
        <charset val="1"/>
      </rPr>
      <t xml:space="preserve">6,000</t>
    </r>
    <r>
      <rPr>
        <sz val="8.5"/>
        <color rgb="FF222222"/>
        <rFont val="Noto Sans CJK SC"/>
        <family val="2"/>
      </rPr>
      <t xml:space="preserve">円 </t>
    </r>
    <r>
      <rPr>
        <sz val="8.5"/>
        <color rgb="FF222222"/>
        <rFont val="游ゴシック"/>
        <family val="0"/>
        <charset val="1"/>
      </rPr>
      <t xml:space="preserve">× 10</t>
    </r>
    <r>
      <rPr>
        <sz val="8.5"/>
        <color rgb="FF222222"/>
        <rFont val="Noto Sans CJK SC"/>
        <family val="2"/>
      </rPr>
      <t xml:space="preserve">個</t>
    </r>
  </si>
  <si>
    <t xml:space="preserve">個</t>
  </si>
  <si>
    <t xml:space="preserve">4-2</t>
  </si>
  <si>
    <t xml:space="preserve">ビブス（体験会用）</t>
  </si>
  <si>
    <r>
      <rPr>
        <sz val="8.5"/>
        <color rgb="FF222222"/>
        <rFont val="游ゴシック"/>
        <family val="0"/>
        <charset val="1"/>
      </rPr>
      <t xml:space="preserve">1,200</t>
    </r>
    <r>
      <rPr>
        <sz val="8.5"/>
        <color rgb="FF222222"/>
        <rFont val="Noto Sans CJK SC"/>
        <family val="2"/>
      </rPr>
      <t xml:space="preserve">円 </t>
    </r>
    <r>
      <rPr>
        <sz val="8.5"/>
        <color rgb="FF222222"/>
        <rFont val="游ゴシック"/>
        <family val="0"/>
        <charset val="1"/>
      </rPr>
      <t xml:space="preserve">× 30</t>
    </r>
    <r>
      <rPr>
        <sz val="8.5"/>
        <color rgb="FF222222"/>
        <rFont val="Noto Sans CJK SC"/>
        <family val="2"/>
      </rPr>
      <t xml:space="preserve">枚</t>
    </r>
  </si>
  <si>
    <t xml:space="preserve">枚</t>
  </si>
  <si>
    <t xml:space="preserve">4-3</t>
  </si>
  <si>
    <t xml:space="preserve">トレーニング用具一式</t>
  </si>
  <si>
    <r>
      <rPr>
        <sz val="8.5"/>
        <color rgb="FF222222"/>
        <rFont val="Noto Sans CJK SC"/>
        <family val="2"/>
      </rPr>
      <t xml:space="preserve">マーカーコーン・ラダー・ミニゴール等　</t>
    </r>
    <r>
      <rPr>
        <sz val="8.5"/>
        <color rgb="FF222222"/>
        <rFont val="游ゴシック"/>
        <family val="0"/>
        <charset val="1"/>
      </rPr>
      <t xml:space="preserve">30,000</t>
    </r>
    <r>
      <rPr>
        <sz val="8.5"/>
        <color rgb="FF222222"/>
        <rFont val="Noto Sans CJK SC"/>
        <family val="2"/>
      </rPr>
      <t xml:space="preserve">円 </t>
    </r>
    <r>
      <rPr>
        <sz val="8.5"/>
        <color rgb="FF222222"/>
        <rFont val="游ゴシック"/>
        <family val="0"/>
        <charset val="1"/>
      </rPr>
      <t xml:space="preserve">× 1</t>
    </r>
    <r>
      <rPr>
        <sz val="8.5"/>
        <color rgb="FF222222"/>
        <rFont val="Noto Sans CJK SC"/>
        <family val="2"/>
      </rPr>
      <t xml:space="preserve">式</t>
    </r>
  </si>
  <si>
    <t xml:space="preserve">式</t>
  </si>
  <si>
    <t xml:space="preserve">4-4</t>
  </si>
  <si>
    <t xml:space="preserve">救急・衛生用品一式</t>
  </si>
  <si>
    <r>
      <rPr>
        <sz val="8.5"/>
        <color rgb="FF222222"/>
        <rFont val="Noto Sans CJK SC"/>
        <family val="2"/>
      </rPr>
      <t xml:space="preserve">アイシング用品、消耗品、体調確認シート等　</t>
    </r>
    <r>
      <rPr>
        <sz val="8.5"/>
        <color rgb="FF222222"/>
        <rFont val="游ゴシック"/>
        <family val="0"/>
        <charset val="1"/>
      </rPr>
      <t xml:space="preserve">20,000</t>
    </r>
    <r>
      <rPr>
        <sz val="8.5"/>
        <color rgb="FF222222"/>
        <rFont val="Noto Sans CJK SC"/>
        <family val="2"/>
      </rPr>
      <t xml:space="preserve">円 </t>
    </r>
    <r>
      <rPr>
        <sz val="8.5"/>
        <color rgb="FF222222"/>
        <rFont val="游ゴシック"/>
        <family val="0"/>
        <charset val="1"/>
      </rPr>
      <t xml:space="preserve">× 1</t>
    </r>
    <r>
      <rPr>
        <sz val="8.5"/>
        <color rgb="FF222222"/>
        <rFont val="Noto Sans CJK SC"/>
        <family val="2"/>
      </rPr>
      <t xml:space="preserve">式</t>
    </r>
  </si>
  <si>
    <t xml:space="preserve">4-5</t>
  </si>
  <si>
    <t xml:space="preserve">ゴレイロ用具</t>
  </si>
  <si>
    <r>
      <rPr>
        <sz val="8.5"/>
        <color rgb="FF222222"/>
        <rFont val="Noto Sans CJK SC"/>
        <family val="2"/>
      </rPr>
      <t xml:space="preserve">グローブ・プロテクター等　</t>
    </r>
    <r>
      <rPr>
        <sz val="8.5"/>
        <color rgb="FF222222"/>
        <rFont val="游ゴシック"/>
        <family val="0"/>
        <charset val="1"/>
      </rPr>
      <t xml:space="preserve">25,000</t>
    </r>
    <r>
      <rPr>
        <sz val="8.5"/>
        <color rgb="FF222222"/>
        <rFont val="Noto Sans CJK SC"/>
        <family val="2"/>
      </rPr>
      <t xml:space="preserve">円 </t>
    </r>
    <r>
      <rPr>
        <sz val="8.5"/>
        <color rgb="FF222222"/>
        <rFont val="游ゴシック"/>
        <family val="0"/>
        <charset val="1"/>
      </rPr>
      <t xml:space="preserve">× 1</t>
    </r>
    <r>
      <rPr>
        <sz val="8.5"/>
        <color rgb="FF222222"/>
        <rFont val="Noto Sans CJK SC"/>
        <family val="2"/>
      </rPr>
      <t xml:space="preserve">式</t>
    </r>
  </si>
  <si>
    <t xml:space="preserve">4</t>
  </si>
  <si>
    <t xml:space="preserve">用具・消耗品費　小計</t>
  </si>
  <si>
    <t xml:space="preserve">5-1</t>
  </si>
  <si>
    <t xml:space="preserve">全国大会 遠征交通費</t>
  </si>
  <si>
    <r>
      <rPr>
        <sz val="8.5"/>
        <color rgb="FF222222"/>
        <rFont val="Noto Sans CJK SC"/>
        <family val="2"/>
      </rPr>
      <t xml:space="preserve">選手・スタッフ　</t>
    </r>
    <r>
      <rPr>
        <sz val="8.5"/>
        <color rgb="FF222222"/>
        <rFont val="游ゴシック"/>
        <family val="0"/>
        <charset val="1"/>
      </rPr>
      <t xml:space="preserve">3,000</t>
    </r>
    <r>
      <rPr>
        <sz val="8.5"/>
        <color rgb="FF222222"/>
        <rFont val="Noto Sans CJK SC"/>
        <family val="2"/>
      </rPr>
      <t xml:space="preserve">円 </t>
    </r>
    <r>
      <rPr>
        <sz val="8.5"/>
        <color rgb="FF222222"/>
        <rFont val="游ゴシック"/>
        <family val="0"/>
        <charset val="1"/>
      </rPr>
      <t xml:space="preserve">× 16</t>
    </r>
    <r>
      <rPr>
        <sz val="8.5"/>
        <color rgb="FF222222"/>
        <rFont val="Noto Sans CJK SC"/>
        <family val="2"/>
      </rPr>
      <t xml:space="preserve">名</t>
    </r>
  </si>
  <si>
    <t xml:space="preserve">5-2</t>
  </si>
  <si>
    <t xml:space="preserve">体験会 運営スタッフ交通費</t>
  </si>
  <si>
    <r>
      <rPr>
        <sz val="8.5"/>
        <color rgb="FF222222"/>
        <rFont val="游ゴシック"/>
        <family val="0"/>
        <charset val="1"/>
      </rPr>
      <t xml:space="preserve">1,000</t>
    </r>
    <r>
      <rPr>
        <sz val="8.5"/>
        <color rgb="FF222222"/>
        <rFont val="Noto Sans CJK SC"/>
        <family val="2"/>
      </rPr>
      <t xml:space="preserve">円 </t>
    </r>
    <r>
      <rPr>
        <sz val="8.5"/>
        <color rgb="FF222222"/>
        <rFont val="游ゴシック"/>
        <family val="0"/>
        <charset val="1"/>
      </rPr>
      <t xml:space="preserve">× 4</t>
    </r>
    <r>
      <rPr>
        <sz val="8.5"/>
        <color rgb="FF222222"/>
        <rFont val="Noto Sans CJK SC"/>
        <family val="2"/>
      </rPr>
      <t xml:space="preserve">名 </t>
    </r>
    <r>
      <rPr>
        <sz val="8.5"/>
        <color rgb="FF222222"/>
        <rFont val="游ゴシック"/>
        <family val="0"/>
        <charset val="1"/>
      </rPr>
      <t xml:space="preserve">× 5</t>
    </r>
    <r>
      <rPr>
        <sz val="8.5"/>
        <color rgb="FF222222"/>
        <rFont val="Noto Sans CJK SC"/>
        <family val="2"/>
      </rPr>
      <t xml:space="preserve">回</t>
    </r>
  </si>
  <si>
    <t xml:space="preserve">名回</t>
  </si>
  <si>
    <t xml:space="preserve">5</t>
  </si>
  <si>
    <t xml:space="preserve">旅費・交通費　小計</t>
  </si>
  <si>
    <t xml:space="preserve">6-1</t>
  </si>
  <si>
    <t xml:space="preserve">チラシ・ポスター印刷費</t>
  </si>
  <si>
    <r>
      <rPr>
        <sz val="8.5"/>
        <color rgb="FF222222"/>
        <rFont val="游ゴシック"/>
        <family val="0"/>
        <charset val="1"/>
      </rPr>
      <t xml:space="preserve">A4</t>
    </r>
    <r>
      <rPr>
        <sz val="8.5"/>
        <color rgb="FF222222"/>
        <rFont val="Noto Sans CJK SC"/>
        <family val="2"/>
      </rPr>
      <t xml:space="preserve">カラー　</t>
    </r>
    <r>
      <rPr>
        <sz val="8.5"/>
        <color rgb="FF222222"/>
        <rFont val="游ゴシック"/>
        <family val="0"/>
        <charset val="1"/>
      </rPr>
      <t xml:space="preserve">15</t>
    </r>
    <r>
      <rPr>
        <sz val="8.5"/>
        <color rgb="FF222222"/>
        <rFont val="Noto Sans CJK SC"/>
        <family val="2"/>
      </rPr>
      <t xml:space="preserve">円 </t>
    </r>
    <r>
      <rPr>
        <sz val="8.5"/>
        <color rgb="FF222222"/>
        <rFont val="游ゴシック"/>
        <family val="0"/>
        <charset val="1"/>
      </rPr>
      <t xml:space="preserve">× 2,000</t>
    </r>
    <r>
      <rPr>
        <sz val="8.5"/>
        <color rgb="FF222222"/>
        <rFont val="Noto Sans CJK SC"/>
        <family val="2"/>
      </rPr>
      <t xml:space="preserve">部</t>
    </r>
  </si>
  <si>
    <t xml:space="preserve">部</t>
  </si>
  <si>
    <t xml:space="preserve">6-2</t>
  </si>
  <si>
    <t xml:space="preserve">ハンドブック制作・印刷費</t>
  </si>
  <si>
    <r>
      <rPr>
        <sz val="8.5"/>
        <color rgb="FF222222"/>
        <rFont val="游ゴシック"/>
        <family val="0"/>
        <charset val="1"/>
      </rPr>
      <t xml:space="preserve">A5</t>
    </r>
    <r>
      <rPr>
        <sz val="8.5"/>
        <color rgb="FF222222"/>
        <rFont val="Noto Sans CJK SC"/>
        <family val="2"/>
      </rPr>
      <t xml:space="preserve">判</t>
    </r>
    <r>
      <rPr>
        <sz val="8.5"/>
        <color rgb="FF222222"/>
        <rFont val="游ゴシック"/>
        <family val="0"/>
        <charset val="1"/>
      </rPr>
      <t xml:space="preserve">24</t>
    </r>
    <r>
      <rPr>
        <sz val="8.5"/>
        <color rgb="FF222222"/>
        <rFont val="Noto Sans CJK SC"/>
        <family val="2"/>
      </rPr>
      <t xml:space="preserve">頁　</t>
    </r>
    <r>
      <rPr>
        <sz val="8.5"/>
        <color rgb="FF222222"/>
        <rFont val="游ゴシック"/>
        <family val="0"/>
        <charset val="1"/>
      </rPr>
      <t xml:space="preserve">250</t>
    </r>
    <r>
      <rPr>
        <sz val="8.5"/>
        <color rgb="FF222222"/>
        <rFont val="Noto Sans CJK SC"/>
        <family val="2"/>
      </rPr>
      <t xml:space="preserve">円 </t>
    </r>
    <r>
      <rPr>
        <sz val="8.5"/>
        <color rgb="FF222222"/>
        <rFont val="游ゴシック"/>
        <family val="0"/>
        <charset val="1"/>
      </rPr>
      <t xml:space="preserve">× 400</t>
    </r>
    <r>
      <rPr>
        <sz val="8.5"/>
        <color rgb="FF222222"/>
        <rFont val="Noto Sans CJK SC"/>
        <family val="2"/>
      </rPr>
      <t xml:space="preserve">部</t>
    </r>
  </si>
  <si>
    <t xml:space="preserve">6-3</t>
  </si>
  <si>
    <t xml:space="preserve">記録・広報用機材</t>
  </si>
  <si>
    <r>
      <rPr>
        <sz val="8.5"/>
        <color rgb="FF222222"/>
        <rFont val="Noto Sans CJK SC"/>
        <family val="2"/>
      </rPr>
      <t xml:space="preserve">デジタルカメラ　</t>
    </r>
    <r>
      <rPr>
        <sz val="8.5"/>
        <color rgb="FF222222"/>
        <rFont val="游ゴシック"/>
        <family val="0"/>
        <charset val="1"/>
      </rPr>
      <t xml:space="preserve">40,000</t>
    </r>
    <r>
      <rPr>
        <sz val="8.5"/>
        <color rgb="FF222222"/>
        <rFont val="Noto Sans CJK SC"/>
        <family val="2"/>
      </rPr>
      <t xml:space="preserve">円 </t>
    </r>
    <r>
      <rPr>
        <sz val="8.5"/>
        <color rgb="FF222222"/>
        <rFont val="游ゴシック"/>
        <family val="0"/>
        <charset val="1"/>
      </rPr>
      <t xml:space="preserve">× 1</t>
    </r>
    <r>
      <rPr>
        <sz val="8.5"/>
        <color rgb="FF222222"/>
        <rFont val="Noto Sans CJK SC"/>
        <family val="2"/>
      </rPr>
      <t xml:space="preserve">台（活動記録・報告書用）</t>
    </r>
  </si>
  <si>
    <t xml:space="preserve">台</t>
  </si>
  <si>
    <t xml:space="preserve">6</t>
  </si>
  <si>
    <t xml:space="preserve">広報・普及啓発費　小計</t>
  </si>
  <si>
    <t xml:space="preserve">7-1</t>
  </si>
  <si>
    <t xml:space="preserve">通信運搬費</t>
  </si>
  <si>
    <r>
      <rPr>
        <sz val="8.5"/>
        <color rgb="FF222222"/>
        <rFont val="Noto Sans CJK SC"/>
        <family val="2"/>
      </rPr>
      <t xml:space="preserve">ハンドブック発送・郵送料　</t>
    </r>
    <r>
      <rPr>
        <sz val="8.5"/>
        <color rgb="FF222222"/>
        <rFont val="游ゴシック"/>
        <family val="0"/>
        <charset val="1"/>
      </rPr>
      <t xml:space="preserve">12,000</t>
    </r>
    <r>
      <rPr>
        <sz val="8.5"/>
        <color rgb="FF222222"/>
        <rFont val="Noto Sans CJK SC"/>
        <family val="2"/>
      </rPr>
      <t xml:space="preserve">円 </t>
    </r>
    <r>
      <rPr>
        <sz val="8.5"/>
        <color rgb="FF222222"/>
        <rFont val="游ゴシック"/>
        <family val="0"/>
        <charset val="1"/>
      </rPr>
      <t xml:space="preserve">× 1</t>
    </r>
    <r>
      <rPr>
        <sz val="8.5"/>
        <color rgb="FF222222"/>
        <rFont val="Noto Sans CJK SC"/>
        <family val="2"/>
      </rPr>
      <t xml:space="preserve">式</t>
    </r>
  </si>
  <si>
    <t xml:space="preserve">7-2</t>
  </si>
  <si>
    <t xml:space="preserve">事務用品・書類印刷費</t>
  </si>
  <si>
    <r>
      <rPr>
        <sz val="8.5"/>
        <color rgb="FF222222"/>
        <rFont val="游ゴシック"/>
        <family val="0"/>
        <charset val="1"/>
      </rPr>
      <t xml:space="preserve">10,000</t>
    </r>
    <r>
      <rPr>
        <sz val="8.5"/>
        <color rgb="FF222222"/>
        <rFont val="Noto Sans CJK SC"/>
        <family val="2"/>
      </rPr>
      <t xml:space="preserve">円 </t>
    </r>
    <r>
      <rPr>
        <sz val="8.5"/>
        <color rgb="FF222222"/>
        <rFont val="游ゴシック"/>
        <family val="0"/>
        <charset val="1"/>
      </rPr>
      <t xml:space="preserve">× 1</t>
    </r>
    <r>
      <rPr>
        <sz val="8.5"/>
        <color rgb="FF222222"/>
        <rFont val="Noto Sans CJK SC"/>
        <family val="2"/>
      </rPr>
      <t xml:space="preserve">式</t>
    </r>
  </si>
  <si>
    <t xml:space="preserve">7-3</t>
  </si>
  <si>
    <t xml:space="preserve">報告書作成費</t>
  </si>
  <si>
    <r>
      <rPr>
        <sz val="8.5"/>
        <color rgb="FF222222"/>
        <rFont val="Noto Sans CJK SC"/>
        <family val="2"/>
      </rPr>
      <t xml:space="preserve">データ集計・印刷　</t>
    </r>
    <r>
      <rPr>
        <sz val="8.5"/>
        <color rgb="FF222222"/>
        <rFont val="游ゴシック"/>
        <family val="0"/>
        <charset val="1"/>
      </rPr>
      <t xml:space="preserve">10,000</t>
    </r>
    <r>
      <rPr>
        <sz val="8.5"/>
        <color rgb="FF222222"/>
        <rFont val="Noto Sans CJK SC"/>
        <family val="2"/>
      </rPr>
      <t xml:space="preserve">円 </t>
    </r>
    <r>
      <rPr>
        <sz val="8.5"/>
        <color rgb="FF222222"/>
        <rFont val="游ゴシック"/>
        <family val="0"/>
        <charset val="1"/>
      </rPr>
      <t xml:space="preserve">× 1</t>
    </r>
    <r>
      <rPr>
        <sz val="8.5"/>
        <color rgb="FF222222"/>
        <rFont val="Noto Sans CJK SC"/>
        <family val="2"/>
      </rPr>
      <t xml:space="preserve">式</t>
    </r>
  </si>
  <si>
    <t xml:space="preserve">7-4</t>
  </si>
  <si>
    <t xml:space="preserve">振込手数料等</t>
  </si>
  <si>
    <r>
      <rPr>
        <sz val="8.5"/>
        <color rgb="FF222222"/>
        <rFont val="游ゴシック"/>
        <family val="0"/>
        <charset val="1"/>
      </rPr>
      <t xml:space="preserve">2,000</t>
    </r>
    <r>
      <rPr>
        <sz val="8.5"/>
        <color rgb="FF222222"/>
        <rFont val="Noto Sans CJK SC"/>
        <family val="2"/>
      </rPr>
      <t xml:space="preserve">円 </t>
    </r>
    <r>
      <rPr>
        <sz val="8.5"/>
        <color rgb="FF222222"/>
        <rFont val="游ゴシック"/>
        <family val="0"/>
        <charset val="1"/>
      </rPr>
      <t xml:space="preserve">× 1</t>
    </r>
    <r>
      <rPr>
        <sz val="8.5"/>
        <color rgb="FF222222"/>
        <rFont val="Noto Sans CJK SC"/>
        <family val="2"/>
      </rPr>
      <t xml:space="preserve">式</t>
    </r>
  </si>
  <si>
    <t xml:space="preserve">7</t>
  </si>
  <si>
    <t xml:space="preserve">事務費　小計</t>
  </si>
  <si>
    <t xml:space="preserve">8-1</t>
  </si>
  <si>
    <t xml:space="preserve">大会参加費</t>
  </si>
  <si>
    <r>
      <rPr>
        <sz val="8.5"/>
        <color rgb="FF222222"/>
        <rFont val="Noto Sans CJK SC"/>
        <family val="2"/>
      </rPr>
      <t xml:space="preserve">東京都大会・関東大会・全国大会　</t>
    </r>
    <r>
      <rPr>
        <sz val="8.5"/>
        <color rgb="FF222222"/>
        <rFont val="游ゴシック"/>
        <family val="0"/>
        <charset val="1"/>
      </rPr>
      <t xml:space="preserve">10,000</t>
    </r>
    <r>
      <rPr>
        <sz val="8.5"/>
        <color rgb="FF222222"/>
        <rFont val="Noto Sans CJK SC"/>
        <family val="2"/>
      </rPr>
      <t xml:space="preserve">円 </t>
    </r>
    <r>
      <rPr>
        <sz val="8.5"/>
        <color rgb="FF222222"/>
        <rFont val="游ゴシック"/>
        <family val="0"/>
        <charset val="1"/>
      </rPr>
      <t xml:space="preserve">× 3</t>
    </r>
    <r>
      <rPr>
        <sz val="8.5"/>
        <color rgb="FF222222"/>
        <rFont val="Noto Sans CJK SC"/>
        <family val="2"/>
      </rPr>
      <t xml:space="preserve">大会</t>
    </r>
  </si>
  <si>
    <t xml:space="preserve">大会</t>
  </si>
  <si>
    <t xml:space="preserve">8-2</t>
  </si>
  <si>
    <t xml:space="preserve">ユニフォーム・チーム備品の更新</t>
  </si>
  <si>
    <t xml:space="preserve">8</t>
  </si>
  <si>
    <t xml:space="preserve">その他（自己資金で負担）　小計</t>
  </si>
  <si>
    <t xml:space="preserve">総 事 業 費　／　助 成 申 請 額　／　自 己 資 金</t>
  </si>
  <si>
    <t xml:space="preserve">【収入の部】</t>
  </si>
  <si>
    <t xml:space="preserve">収入の内容</t>
  </si>
  <si>
    <t xml:space="preserve">内訳・算出根拠</t>
  </si>
  <si>
    <t xml:space="preserve">ヤマト福祉財団 障がい者福祉助成金</t>
  </si>
  <si>
    <t xml:space="preserve">本申請額</t>
  </si>
  <si>
    <t xml:space="preserve">会　費</t>
  </si>
  <si>
    <r>
      <rPr>
        <sz val="8.5"/>
        <color rgb="FF222222"/>
        <rFont val="游ゴシック"/>
        <family val="0"/>
        <charset val="1"/>
      </rPr>
      <t xml:space="preserve">1,500</t>
    </r>
    <r>
      <rPr>
        <sz val="8.5"/>
        <color rgb="FF222222"/>
        <rFont val="Noto Sans CJK SC"/>
        <family val="2"/>
      </rPr>
      <t xml:space="preserve">円 </t>
    </r>
    <r>
      <rPr>
        <sz val="8.5"/>
        <color rgb="FF222222"/>
        <rFont val="游ゴシック"/>
        <family val="0"/>
        <charset val="1"/>
      </rPr>
      <t xml:space="preserve">× 16</t>
    </r>
    <r>
      <rPr>
        <sz val="8.5"/>
        <color rgb="FF222222"/>
        <rFont val="Noto Sans CJK SC"/>
        <family val="2"/>
      </rPr>
      <t xml:space="preserve">名 </t>
    </r>
    <r>
      <rPr>
        <sz val="8.5"/>
        <color rgb="FF222222"/>
        <rFont val="游ゴシック"/>
        <family val="0"/>
        <charset val="1"/>
      </rPr>
      <t xml:space="preserve">× 12</t>
    </r>
    <r>
      <rPr>
        <sz val="8.5"/>
        <color rgb="FF222222"/>
        <rFont val="Noto Sans CJK SC"/>
        <family val="2"/>
      </rPr>
      <t xml:space="preserve">か月</t>
    </r>
  </si>
  <si>
    <t xml:space="preserve">オープン体験会 参加費</t>
  </si>
  <si>
    <r>
      <rPr>
        <sz val="8.5"/>
        <color rgb="FF222222"/>
        <rFont val="游ゴシック"/>
        <family val="0"/>
        <charset val="1"/>
      </rPr>
      <t xml:space="preserve">500</t>
    </r>
    <r>
      <rPr>
        <sz val="8.5"/>
        <color rgb="FF222222"/>
        <rFont val="Noto Sans CJK SC"/>
        <family val="2"/>
      </rPr>
      <t xml:space="preserve">円 </t>
    </r>
    <r>
      <rPr>
        <sz val="8.5"/>
        <color rgb="FF222222"/>
        <rFont val="游ゴシック"/>
        <family val="0"/>
        <charset val="1"/>
      </rPr>
      <t xml:space="preserve">× 100</t>
    </r>
    <r>
      <rPr>
        <sz val="8.5"/>
        <color rgb="FF222222"/>
        <rFont val="Noto Sans CJK SC"/>
        <family val="2"/>
      </rPr>
      <t xml:space="preserve">名</t>
    </r>
  </si>
  <si>
    <t xml:space="preserve">寄付金・その他</t>
  </si>
  <si>
    <t xml:space="preserve">―</t>
  </si>
  <si>
    <t xml:space="preserve">収 入 合 計</t>
  </si>
  <si>
    <r>
      <rPr>
        <b val="true"/>
        <sz val="9"/>
        <color rgb="FF1F3864"/>
        <rFont val="Noto Sans CJK SC"/>
        <family val="2"/>
      </rPr>
      <t xml:space="preserve">差引（収入合計 － 総事業費）　※</t>
    </r>
    <r>
      <rPr>
        <b val="true"/>
        <sz val="9"/>
        <color rgb="FF1F3864"/>
        <rFont val="游ゴシック"/>
        <family val="0"/>
        <charset val="1"/>
      </rPr>
      <t xml:space="preserve">0</t>
    </r>
    <r>
      <rPr>
        <b val="true"/>
        <sz val="9"/>
        <color rgb="FF1F3864"/>
        <rFont val="Noto Sans CJK SC"/>
        <family val="2"/>
      </rPr>
      <t xml:space="preserve">になることを確認してください</t>
    </r>
  </si>
  <si>
    <t xml:space="preserve">【積算の前提と留意事項】</t>
  </si>
  <si>
    <r>
      <rPr>
        <sz val="9"/>
        <color rgb="FF595959"/>
        <rFont val="Noto Sans CJK SC"/>
        <family val="2"/>
      </rPr>
      <t xml:space="preserve">① 単価は</t>
    </r>
    <r>
      <rPr>
        <sz val="9"/>
        <color rgb="FF595959"/>
        <rFont val="游ゴシック"/>
        <family val="0"/>
        <charset val="1"/>
      </rPr>
      <t xml:space="preserve">2026</t>
    </r>
    <r>
      <rPr>
        <sz val="9"/>
        <color rgb="FF595959"/>
        <rFont val="Noto Sans CJK SC"/>
        <family val="2"/>
      </rPr>
      <t xml:space="preserve">年</t>
    </r>
    <r>
      <rPr>
        <sz val="9"/>
        <color rgb="FF595959"/>
        <rFont val="游ゴシック"/>
        <family val="0"/>
        <charset val="1"/>
      </rPr>
      <t xml:space="preserve">9</t>
    </r>
    <r>
      <rPr>
        <sz val="9"/>
        <color rgb="FF595959"/>
        <rFont val="Noto Sans CJK SC"/>
        <family val="2"/>
      </rPr>
      <t xml:space="preserve">月時点の実勢価格および当団体の過去の支出実績に基づく見込みです。契約時に変動する場合があります。</t>
    </r>
  </si>
  <si>
    <t xml:space="preserve">② 金額はすべて消費税込みです。</t>
  </si>
  <si>
    <t xml:space="preserve">③ 黄色のセル（収入の部）は、貴団体の実情に合わせてご記入・ご確認ください。単価・数量を書き換えると、金額・小計・合計は自動で計算されます。</t>
  </si>
  <si>
    <r>
      <rPr>
        <sz val="9"/>
        <color rgb="FF595959"/>
        <rFont val="Noto Sans CJK SC"/>
        <family val="2"/>
      </rPr>
      <t xml:space="preserve">④ 定例練習の会場使用料（</t>
    </r>
    <r>
      <rPr>
        <sz val="9"/>
        <color rgb="FF595959"/>
        <rFont val="游ゴシック"/>
        <family val="0"/>
        <charset val="1"/>
      </rPr>
      <t xml:space="preserve">320,000</t>
    </r>
    <r>
      <rPr>
        <sz val="9"/>
        <color rgb="FF595959"/>
        <rFont val="Noto Sans CJK SC"/>
        <family val="2"/>
      </rPr>
      <t xml:space="preserve">円）、大会参加費、ユニフォーム・備品更新費は、会費等の自己資金で負担します。</t>
    </r>
  </si>
  <si>
    <r>
      <rPr>
        <sz val="9"/>
        <color rgb="FF595959"/>
        <rFont val="Noto Sans CJK SC"/>
        <family val="2"/>
      </rPr>
      <t xml:space="preserve">⑤ 財団の募集要項において助成対象外とされる費目があった場合は、当該費目を自己資金へ振り替えて調整し、助成申請額は</t>
    </r>
    <r>
      <rPr>
        <sz val="9"/>
        <color rgb="FF595959"/>
        <rFont val="游ゴシック"/>
        <family val="0"/>
        <charset val="1"/>
      </rPr>
      <t xml:space="preserve">1,000,000</t>
    </r>
    <r>
      <rPr>
        <sz val="9"/>
        <color rgb="FF595959"/>
        <rFont val="Noto Sans CJK SC"/>
        <family val="2"/>
      </rPr>
      <t xml:space="preserve">円を上限とします。</t>
    </r>
  </si>
  <si>
    <t xml:space="preserve">⑥ 助成決定後は、費目ごとに領収書を保管し、実績報告書とあわせてご報告いたします。</t>
  </si>
</sst>
</file>

<file path=xl/styles.xml><?xml version="1.0" encoding="utf-8"?>
<styleSheet xmlns="http://schemas.openxmlformats.org/spreadsheetml/2006/main">
  <numFmts count="4">
    <numFmt numFmtId="164" formatCode="General"/>
    <numFmt numFmtId="165" formatCode="#,##0;\-#,##0;\－"/>
    <numFmt numFmtId="166" formatCode="#,##0"/>
    <numFmt numFmtId="167" formatCode="#,##0;\-#,##0;0"/>
  </numFmts>
  <fonts count="24">
    <font>
      <sz val="11"/>
      <color theme="1"/>
      <name val="Calibri"/>
      <family val="2"/>
      <charset val="1"/>
    </font>
    <font>
      <sz val="10"/>
      <name val="Arial"/>
      <family val="0"/>
    </font>
    <font>
      <sz val="10"/>
      <name val="Arial"/>
      <family val="0"/>
    </font>
    <font>
      <sz val="10"/>
      <name val="Arial"/>
      <family val="0"/>
    </font>
    <font>
      <b val="true"/>
      <sz val="16"/>
      <color rgb="FF1F3864"/>
      <name val="Noto Sans CJK SC"/>
      <family val="2"/>
    </font>
    <font>
      <b val="true"/>
      <sz val="16"/>
      <color rgb="FF1F3864"/>
      <name val="游ゴシック"/>
      <family val="0"/>
      <charset val="1"/>
    </font>
    <font>
      <sz val="10"/>
      <name val="Noto Sans CJK SC"/>
      <family val="2"/>
    </font>
    <font>
      <sz val="10"/>
      <name val="游ゴシック"/>
      <family val="0"/>
      <charset val="1"/>
    </font>
    <font>
      <b val="true"/>
      <sz val="11"/>
      <color rgb="FF1F3864"/>
      <name val="Noto Sans CJK SC"/>
      <family val="2"/>
    </font>
    <font>
      <sz val="9"/>
      <color rgb="FF595959"/>
      <name val="Noto Sans CJK SC"/>
      <family val="2"/>
    </font>
    <font>
      <b val="true"/>
      <sz val="9"/>
      <color rgb="FFFFFFFF"/>
      <name val="游ゴシック"/>
      <family val="0"/>
      <charset val="1"/>
    </font>
    <font>
      <b val="true"/>
      <sz val="9"/>
      <color rgb="FFFFFFFF"/>
      <name val="Noto Sans CJK SC"/>
      <family val="2"/>
    </font>
    <font>
      <sz val="9"/>
      <color rgb="FF222222"/>
      <name val="游ゴシック"/>
      <family val="0"/>
      <charset val="1"/>
    </font>
    <font>
      <sz val="9"/>
      <color rgb="FF222222"/>
      <name val="Noto Sans CJK SC"/>
      <family val="2"/>
    </font>
    <font>
      <sz val="8.5"/>
      <color rgb="FF222222"/>
      <name val="Noto Sans CJK SC"/>
      <family val="2"/>
    </font>
    <font>
      <sz val="8.5"/>
      <color rgb="FF222222"/>
      <name val="游ゴシック"/>
      <family val="0"/>
      <charset val="1"/>
    </font>
    <font>
      <b val="true"/>
      <sz val="9"/>
      <color rgb="FF1F3864"/>
      <name val="游ゴシック"/>
      <family val="0"/>
      <charset val="1"/>
    </font>
    <font>
      <b val="true"/>
      <sz val="9"/>
      <color rgb="FF1F3864"/>
      <name val="Noto Sans CJK SC"/>
      <family val="2"/>
    </font>
    <font>
      <b val="true"/>
      <sz val="11"/>
      <color rgb="FFFFFFFF"/>
      <name val="Noto Sans CJK SC"/>
      <family val="2"/>
    </font>
    <font>
      <b val="true"/>
      <sz val="11"/>
      <color rgb="FFFFFFFF"/>
      <name val="游ゴシック"/>
      <family val="0"/>
      <charset val="1"/>
    </font>
    <font>
      <b val="true"/>
      <sz val="10"/>
      <color rgb="FFFFFFFF"/>
      <name val="Noto Sans CJK SC"/>
      <family val="2"/>
    </font>
    <font>
      <b val="true"/>
      <sz val="10"/>
      <color rgb="FFFFFFFF"/>
      <name val="游ゴシック"/>
      <family val="0"/>
      <charset val="1"/>
    </font>
    <font>
      <b val="true"/>
      <sz val="9"/>
      <color rgb="FF222222"/>
      <name val="Noto Sans CJK SC"/>
      <family val="2"/>
    </font>
    <font>
      <sz val="9"/>
      <color rgb="FF595959"/>
      <name val="游ゴシック"/>
      <family val="0"/>
      <charset val="1"/>
    </font>
  </fonts>
  <fills count="5">
    <fill>
      <patternFill patternType="none"/>
    </fill>
    <fill>
      <patternFill patternType="gray125"/>
    </fill>
    <fill>
      <patternFill patternType="solid">
        <fgColor rgb="FF1F3864"/>
        <bgColor rgb="FF333399"/>
      </patternFill>
    </fill>
    <fill>
      <patternFill patternType="solid">
        <fgColor rgb="FFEEF1F7"/>
        <bgColor rgb="FFFFFFFF"/>
      </patternFill>
    </fill>
    <fill>
      <patternFill patternType="solid">
        <fgColor rgb="FFFFF2CC"/>
        <bgColor rgb="FFEEF1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5" fontId="12" fillId="0" borderId="1" xfId="0" applyFont="true" applyBorder="true" applyAlignment="true" applyProtection="false">
      <alignment horizontal="right"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4" fontId="17" fillId="3" borderId="1" xfId="0" applyFont="true" applyBorder="true" applyAlignment="true" applyProtection="false">
      <alignment horizontal="left" vertical="center" textRotation="0" wrapText="false" indent="0" shrinkToFit="false"/>
      <protection locked="true" hidden="false"/>
    </xf>
    <xf numFmtId="164" fontId="12" fillId="3" borderId="1" xfId="0" applyFont="true" applyBorder="true" applyAlignment="true" applyProtection="false">
      <alignment horizontal="left" vertical="center" textRotation="0" wrapText="false" indent="0" shrinkToFit="false"/>
      <protection locked="true" hidden="false"/>
    </xf>
    <xf numFmtId="165" fontId="16" fillId="3" borderId="1" xfId="0" applyFont="true" applyBorder="true" applyAlignment="true" applyProtection="false">
      <alignment horizontal="right"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false" indent="0" shrinkToFit="false"/>
      <protection locked="true" hidden="false"/>
    </xf>
    <xf numFmtId="165" fontId="19" fillId="2" borderId="1" xfId="0" applyFont="true" applyBorder="true" applyAlignment="true" applyProtection="false">
      <alignment horizontal="righ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5" fontId="12" fillId="4" borderId="1" xfId="0" applyFont="true" applyBorder="true" applyAlignment="true" applyProtection="false">
      <alignment horizontal="right" vertical="center" textRotation="0" wrapText="false" indent="0" shrinkToFit="false"/>
      <protection locked="true" hidden="false"/>
    </xf>
    <xf numFmtId="164" fontId="20" fillId="2" borderId="1" xfId="0" applyFont="true" applyBorder="true" applyAlignment="true" applyProtection="false">
      <alignment horizontal="center" vertical="center" textRotation="0" wrapText="false" indent="0" shrinkToFit="false"/>
      <protection locked="true" hidden="false"/>
    </xf>
    <xf numFmtId="165" fontId="21" fillId="2" borderId="1" xfId="0" applyFont="true" applyBorder="true" applyAlignment="true" applyProtection="false">
      <alignment horizontal="right" vertical="center" textRotation="0" wrapText="false" indent="0" shrinkToFit="false"/>
      <protection locked="true" hidden="false"/>
    </xf>
    <xf numFmtId="167" fontId="16" fillId="3" borderId="1" xfId="0" applyFont="true" applyBorder="true" applyAlignment="true" applyProtection="false">
      <alignment horizontal="right"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EF1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3"/>
    <col collapsed="false" customWidth="true" hidden="false" outlineLevel="0" max="4" min="4" style="0" width="9.5"/>
    <col collapsed="false" customWidth="true" hidden="false" outlineLevel="0" max="6" min="5" style="0" width="6"/>
    <col collapsed="false" customWidth="true" hidden="false" outlineLevel="0" max="7" min="7" style="0" width="11.5"/>
    <col collapsed="false" customWidth="true" hidden="false" outlineLevel="0" max="8" min="8" style="0" width="12.5"/>
    <col collapsed="false" customWidth="true" hidden="false" outlineLevel="0" max="9" min="9" style="0" width="11"/>
  </cols>
  <sheetData>
    <row r="1" customFormat="false" ht="24" hidden="false" customHeight="true" outlineLevel="0" collapsed="false">
      <c r="A1" s="1" t="s">
        <v>0</v>
      </c>
      <c r="B1" s="1"/>
      <c r="C1" s="1"/>
      <c r="D1" s="1"/>
      <c r="E1" s="1"/>
      <c r="F1" s="1"/>
      <c r="G1" s="1"/>
      <c r="H1" s="1"/>
      <c r="I1" s="1"/>
    </row>
    <row r="2" customFormat="false" ht="15" hidden="false" customHeight="false" outlineLevel="0" collapsed="false">
      <c r="A2" s="2" t="s">
        <v>1</v>
      </c>
      <c r="B2" s="2"/>
      <c r="C2" s="2"/>
      <c r="D2" s="2"/>
      <c r="E2" s="2"/>
      <c r="F2" s="2"/>
      <c r="G2" s="2"/>
      <c r="H2" s="2"/>
      <c r="I2" s="2"/>
    </row>
    <row r="3" customFormat="false" ht="15" hidden="false" customHeight="false" outlineLevel="0" collapsed="false">
      <c r="A3" s="2" t="s">
        <v>2</v>
      </c>
      <c r="B3" s="2"/>
      <c r="C3" s="2"/>
      <c r="D3" s="2"/>
      <c r="E3" s="2"/>
      <c r="F3" s="2"/>
      <c r="G3" s="2"/>
      <c r="H3" s="2"/>
      <c r="I3" s="2"/>
    </row>
    <row r="5" customFormat="false" ht="15" hidden="false" customHeight="false" outlineLevel="0" collapsed="false">
      <c r="A5" s="3" t="s">
        <v>3</v>
      </c>
      <c r="I5" s="4" t="s">
        <v>4</v>
      </c>
    </row>
    <row r="6" customFormat="false" ht="30" hidden="false" customHeight="true" outlineLevel="0" collapsed="false">
      <c r="A6" s="5" t="s">
        <v>5</v>
      </c>
      <c r="B6" s="6" t="s">
        <v>6</v>
      </c>
      <c r="C6" s="6" t="s">
        <v>7</v>
      </c>
      <c r="D6" s="6" t="s">
        <v>8</v>
      </c>
      <c r="E6" s="6" t="s">
        <v>9</v>
      </c>
      <c r="F6" s="6" t="s">
        <v>10</v>
      </c>
      <c r="G6" s="6" t="s">
        <v>11</v>
      </c>
      <c r="H6" s="6" t="s">
        <v>12</v>
      </c>
      <c r="I6" s="6" t="s">
        <v>13</v>
      </c>
    </row>
    <row r="7" customFormat="false" ht="21.75" hidden="false" customHeight="true" outlineLevel="0" collapsed="false">
      <c r="A7" s="7" t="s">
        <v>14</v>
      </c>
      <c r="B7" s="8" t="s">
        <v>15</v>
      </c>
      <c r="C7" s="9" t="s">
        <v>16</v>
      </c>
      <c r="D7" s="10" t="n">
        <v>22000</v>
      </c>
      <c r="E7" s="11" t="n">
        <v>5</v>
      </c>
      <c r="F7" s="12" t="s">
        <v>17</v>
      </c>
      <c r="G7" s="10" t="n">
        <f aca="false">D7*E7</f>
        <v>110000</v>
      </c>
      <c r="H7" s="10" t="n">
        <v>110000</v>
      </c>
      <c r="I7" s="10" t="n">
        <f aca="false">G7-H7</f>
        <v>0</v>
      </c>
    </row>
    <row r="8" customFormat="false" ht="21.75" hidden="false" customHeight="true" outlineLevel="0" collapsed="false">
      <c r="A8" s="7" t="s">
        <v>18</v>
      </c>
      <c r="B8" s="8" t="s">
        <v>19</v>
      </c>
      <c r="C8" s="9" t="s">
        <v>20</v>
      </c>
      <c r="D8" s="10" t="n">
        <v>15000</v>
      </c>
      <c r="E8" s="11" t="n">
        <v>12</v>
      </c>
      <c r="F8" s="12" t="s">
        <v>17</v>
      </c>
      <c r="G8" s="10" t="n">
        <f aca="false">D8*E8</f>
        <v>180000</v>
      </c>
      <c r="H8" s="10" t="n">
        <v>180000</v>
      </c>
      <c r="I8" s="10" t="n">
        <f aca="false">G8-H8</f>
        <v>0</v>
      </c>
    </row>
    <row r="9" customFormat="false" ht="21.75" hidden="false" customHeight="true" outlineLevel="0" collapsed="false">
      <c r="A9" s="7" t="s">
        <v>21</v>
      </c>
      <c r="B9" s="8" t="s">
        <v>22</v>
      </c>
      <c r="C9" s="9" t="s">
        <v>23</v>
      </c>
      <c r="D9" s="10" t="n">
        <v>8000</v>
      </c>
      <c r="E9" s="11" t="n">
        <v>40</v>
      </c>
      <c r="F9" s="12" t="s">
        <v>17</v>
      </c>
      <c r="G9" s="10" t="n">
        <f aca="false">D9*E9</f>
        <v>320000</v>
      </c>
      <c r="H9" s="10" t="n">
        <v>0</v>
      </c>
      <c r="I9" s="10" t="n">
        <f aca="false">G9-H9</f>
        <v>320000</v>
      </c>
    </row>
    <row r="10" customFormat="false" ht="19.5" hidden="false" customHeight="true" outlineLevel="0" collapsed="false">
      <c r="A10" s="13" t="s">
        <v>24</v>
      </c>
      <c r="B10" s="14" t="s">
        <v>25</v>
      </c>
      <c r="C10" s="15"/>
      <c r="D10" s="15"/>
      <c r="E10" s="15"/>
      <c r="F10" s="15"/>
      <c r="G10" s="16" t="n">
        <f aca="false">SUM(G7:G9)</f>
        <v>610000</v>
      </c>
      <c r="H10" s="16" t="n">
        <f aca="false">SUM(H7:H9)</f>
        <v>290000</v>
      </c>
      <c r="I10" s="16" t="n">
        <f aca="false">SUM(I7:I9)</f>
        <v>320000</v>
      </c>
    </row>
    <row r="11" customFormat="false" ht="21.75" hidden="false" customHeight="true" outlineLevel="0" collapsed="false">
      <c r="A11" s="7" t="s">
        <v>26</v>
      </c>
      <c r="B11" s="8" t="s">
        <v>27</v>
      </c>
      <c r="C11" s="9" t="s">
        <v>28</v>
      </c>
      <c r="D11" s="10" t="n">
        <v>15000</v>
      </c>
      <c r="E11" s="11" t="n">
        <v>10</v>
      </c>
      <c r="F11" s="12" t="s">
        <v>17</v>
      </c>
      <c r="G11" s="10" t="n">
        <f aca="false">D11*E11</f>
        <v>150000</v>
      </c>
      <c r="H11" s="10" t="n">
        <v>150000</v>
      </c>
      <c r="I11" s="10" t="n">
        <f aca="false">G11-H11</f>
        <v>0</v>
      </c>
    </row>
    <row r="12" customFormat="false" ht="21.75" hidden="false" customHeight="true" outlineLevel="0" collapsed="false">
      <c r="A12" s="7" t="s">
        <v>29</v>
      </c>
      <c r="B12" s="8" t="s">
        <v>30</v>
      </c>
      <c r="C12" s="9" t="s">
        <v>31</v>
      </c>
      <c r="D12" s="10" t="n">
        <v>10000</v>
      </c>
      <c r="E12" s="11" t="n">
        <v>5</v>
      </c>
      <c r="F12" s="12" t="s">
        <v>17</v>
      </c>
      <c r="G12" s="10" t="n">
        <f aca="false">D12*E12</f>
        <v>50000</v>
      </c>
      <c r="H12" s="10" t="n">
        <v>50000</v>
      </c>
      <c r="I12" s="10" t="n">
        <f aca="false">G12-H12</f>
        <v>0</v>
      </c>
    </row>
    <row r="13" customFormat="false" ht="19.5" hidden="false" customHeight="true" outlineLevel="0" collapsed="false">
      <c r="A13" s="13" t="s">
        <v>32</v>
      </c>
      <c r="B13" s="14" t="s">
        <v>33</v>
      </c>
      <c r="C13" s="15"/>
      <c r="D13" s="15"/>
      <c r="E13" s="15"/>
      <c r="F13" s="15"/>
      <c r="G13" s="16" t="n">
        <f aca="false">SUM(G11:G12)</f>
        <v>200000</v>
      </c>
      <c r="H13" s="16" t="n">
        <f aca="false">SUM(H11:H12)</f>
        <v>200000</v>
      </c>
      <c r="I13" s="16" t="n">
        <f aca="false">SUM(I11:I12)</f>
        <v>0</v>
      </c>
    </row>
    <row r="14" customFormat="false" ht="21.75" hidden="false" customHeight="true" outlineLevel="0" collapsed="false">
      <c r="A14" s="7" t="s">
        <v>34</v>
      </c>
      <c r="B14" s="8" t="s">
        <v>35</v>
      </c>
      <c r="C14" s="9" t="s">
        <v>36</v>
      </c>
      <c r="D14" s="10" t="n">
        <v>1850</v>
      </c>
      <c r="E14" s="11" t="n">
        <v>20</v>
      </c>
      <c r="F14" s="12" t="s">
        <v>37</v>
      </c>
      <c r="G14" s="10" t="n">
        <f aca="false">D14*E14</f>
        <v>37000</v>
      </c>
      <c r="H14" s="10" t="n">
        <v>37000</v>
      </c>
      <c r="I14" s="10" t="n">
        <f aca="false">G14-H14</f>
        <v>0</v>
      </c>
    </row>
    <row r="15" customFormat="false" ht="21.75" hidden="false" customHeight="true" outlineLevel="0" collapsed="false">
      <c r="A15" s="7" t="s">
        <v>38</v>
      </c>
      <c r="B15" s="8" t="s">
        <v>39</v>
      </c>
      <c r="C15" s="9" t="s">
        <v>40</v>
      </c>
      <c r="D15" s="10" t="n">
        <v>300</v>
      </c>
      <c r="E15" s="11" t="n">
        <v>100</v>
      </c>
      <c r="F15" s="12" t="s">
        <v>37</v>
      </c>
      <c r="G15" s="10" t="n">
        <f aca="false">D15*E15</f>
        <v>30000</v>
      </c>
      <c r="H15" s="10" t="n">
        <v>30000</v>
      </c>
      <c r="I15" s="10" t="n">
        <f aca="false">G15-H15</f>
        <v>0</v>
      </c>
    </row>
    <row r="16" customFormat="false" ht="19.5" hidden="false" customHeight="true" outlineLevel="0" collapsed="false">
      <c r="A16" s="13" t="s">
        <v>41</v>
      </c>
      <c r="B16" s="14" t="s">
        <v>42</v>
      </c>
      <c r="C16" s="15"/>
      <c r="D16" s="15"/>
      <c r="E16" s="15"/>
      <c r="F16" s="15"/>
      <c r="G16" s="16" t="n">
        <f aca="false">SUM(G14:G15)</f>
        <v>67000</v>
      </c>
      <c r="H16" s="16" t="n">
        <f aca="false">SUM(H14:H15)</f>
        <v>67000</v>
      </c>
      <c r="I16" s="16" t="n">
        <f aca="false">SUM(I14:I15)</f>
        <v>0</v>
      </c>
    </row>
    <row r="17" customFormat="false" ht="21.75" hidden="false" customHeight="true" outlineLevel="0" collapsed="false">
      <c r="A17" s="7" t="s">
        <v>43</v>
      </c>
      <c r="B17" s="8" t="s">
        <v>44</v>
      </c>
      <c r="C17" s="9" t="s">
        <v>45</v>
      </c>
      <c r="D17" s="10" t="n">
        <v>6000</v>
      </c>
      <c r="E17" s="11" t="n">
        <v>10</v>
      </c>
      <c r="F17" s="12" t="s">
        <v>46</v>
      </c>
      <c r="G17" s="10" t="n">
        <f aca="false">D17*E17</f>
        <v>60000</v>
      </c>
      <c r="H17" s="10" t="n">
        <v>60000</v>
      </c>
      <c r="I17" s="10" t="n">
        <f aca="false">G17-H17</f>
        <v>0</v>
      </c>
    </row>
    <row r="18" customFormat="false" ht="21.75" hidden="false" customHeight="true" outlineLevel="0" collapsed="false">
      <c r="A18" s="7" t="s">
        <v>47</v>
      </c>
      <c r="B18" s="8" t="s">
        <v>48</v>
      </c>
      <c r="C18" s="17" t="s">
        <v>49</v>
      </c>
      <c r="D18" s="10" t="n">
        <v>1200</v>
      </c>
      <c r="E18" s="11" t="n">
        <v>30</v>
      </c>
      <c r="F18" s="12" t="s">
        <v>50</v>
      </c>
      <c r="G18" s="10" t="n">
        <f aca="false">D18*E18</f>
        <v>36000</v>
      </c>
      <c r="H18" s="10" t="n">
        <v>36000</v>
      </c>
      <c r="I18" s="10" t="n">
        <f aca="false">G18-H18</f>
        <v>0</v>
      </c>
    </row>
    <row r="19" customFormat="false" ht="21.75" hidden="false" customHeight="true" outlineLevel="0" collapsed="false">
      <c r="A19" s="7" t="s">
        <v>51</v>
      </c>
      <c r="B19" s="8" t="s">
        <v>52</v>
      </c>
      <c r="C19" s="9" t="s">
        <v>53</v>
      </c>
      <c r="D19" s="10" t="n">
        <v>30000</v>
      </c>
      <c r="E19" s="11" t="n">
        <v>1</v>
      </c>
      <c r="F19" s="12" t="s">
        <v>54</v>
      </c>
      <c r="G19" s="10" t="n">
        <f aca="false">D19*E19</f>
        <v>30000</v>
      </c>
      <c r="H19" s="10" t="n">
        <v>30000</v>
      </c>
      <c r="I19" s="10" t="n">
        <f aca="false">G19-H19</f>
        <v>0</v>
      </c>
    </row>
    <row r="20" customFormat="false" ht="21.75" hidden="false" customHeight="true" outlineLevel="0" collapsed="false">
      <c r="A20" s="7" t="s">
        <v>55</v>
      </c>
      <c r="B20" s="8" t="s">
        <v>56</v>
      </c>
      <c r="C20" s="9" t="s">
        <v>57</v>
      </c>
      <c r="D20" s="10" t="n">
        <v>20000</v>
      </c>
      <c r="E20" s="11" t="n">
        <v>1</v>
      </c>
      <c r="F20" s="12" t="s">
        <v>54</v>
      </c>
      <c r="G20" s="10" t="n">
        <f aca="false">D20*E20</f>
        <v>20000</v>
      </c>
      <c r="H20" s="10" t="n">
        <v>20000</v>
      </c>
      <c r="I20" s="10" t="n">
        <f aca="false">G20-H20</f>
        <v>0</v>
      </c>
    </row>
    <row r="21" customFormat="false" ht="21.75" hidden="false" customHeight="true" outlineLevel="0" collapsed="false">
      <c r="A21" s="7" t="s">
        <v>58</v>
      </c>
      <c r="B21" s="8" t="s">
        <v>59</v>
      </c>
      <c r="C21" s="9" t="s">
        <v>60</v>
      </c>
      <c r="D21" s="10" t="n">
        <v>25000</v>
      </c>
      <c r="E21" s="11" t="n">
        <v>1</v>
      </c>
      <c r="F21" s="12" t="s">
        <v>54</v>
      </c>
      <c r="G21" s="10" t="n">
        <f aca="false">D21*E21</f>
        <v>25000</v>
      </c>
      <c r="H21" s="10" t="n">
        <v>25000</v>
      </c>
      <c r="I21" s="10" t="n">
        <f aca="false">G21-H21</f>
        <v>0</v>
      </c>
    </row>
    <row r="22" customFormat="false" ht="19.5" hidden="false" customHeight="true" outlineLevel="0" collapsed="false">
      <c r="A22" s="13" t="s">
        <v>61</v>
      </c>
      <c r="B22" s="14" t="s">
        <v>62</v>
      </c>
      <c r="C22" s="15"/>
      <c r="D22" s="15"/>
      <c r="E22" s="15"/>
      <c r="F22" s="15"/>
      <c r="G22" s="16" t="n">
        <f aca="false">SUM(G17:G21)</f>
        <v>171000</v>
      </c>
      <c r="H22" s="16" t="n">
        <f aca="false">SUM(H17:H21)</f>
        <v>171000</v>
      </c>
      <c r="I22" s="16" t="n">
        <f aca="false">SUM(I17:I21)</f>
        <v>0</v>
      </c>
    </row>
    <row r="23" customFormat="false" ht="21.75" hidden="false" customHeight="true" outlineLevel="0" collapsed="false">
      <c r="A23" s="7" t="s">
        <v>63</v>
      </c>
      <c r="B23" s="8" t="s">
        <v>64</v>
      </c>
      <c r="C23" s="9" t="s">
        <v>65</v>
      </c>
      <c r="D23" s="10" t="n">
        <v>3000</v>
      </c>
      <c r="E23" s="11" t="n">
        <v>16</v>
      </c>
      <c r="F23" s="12" t="s">
        <v>37</v>
      </c>
      <c r="G23" s="10" t="n">
        <f aca="false">D23*E23</f>
        <v>48000</v>
      </c>
      <c r="H23" s="10" t="n">
        <v>48000</v>
      </c>
      <c r="I23" s="10" t="n">
        <f aca="false">G23-H23</f>
        <v>0</v>
      </c>
    </row>
    <row r="24" customFormat="false" ht="21.75" hidden="false" customHeight="true" outlineLevel="0" collapsed="false">
      <c r="A24" s="7" t="s">
        <v>66</v>
      </c>
      <c r="B24" s="8" t="s">
        <v>67</v>
      </c>
      <c r="C24" s="17" t="s">
        <v>68</v>
      </c>
      <c r="D24" s="10" t="n">
        <v>1000</v>
      </c>
      <c r="E24" s="11" t="n">
        <v>20</v>
      </c>
      <c r="F24" s="12" t="s">
        <v>69</v>
      </c>
      <c r="G24" s="10" t="n">
        <f aca="false">D24*E24</f>
        <v>20000</v>
      </c>
      <c r="H24" s="10" t="n">
        <v>20000</v>
      </c>
      <c r="I24" s="10" t="n">
        <f aca="false">G24-H24</f>
        <v>0</v>
      </c>
    </row>
    <row r="25" customFormat="false" ht="19.5" hidden="false" customHeight="true" outlineLevel="0" collapsed="false">
      <c r="A25" s="13" t="s">
        <v>70</v>
      </c>
      <c r="B25" s="14" t="s">
        <v>71</v>
      </c>
      <c r="C25" s="15"/>
      <c r="D25" s="15"/>
      <c r="E25" s="15"/>
      <c r="F25" s="15"/>
      <c r="G25" s="16" t="n">
        <f aca="false">SUM(G23:G24)</f>
        <v>68000</v>
      </c>
      <c r="H25" s="16" t="n">
        <f aca="false">SUM(H23:H24)</f>
        <v>68000</v>
      </c>
      <c r="I25" s="16" t="n">
        <f aca="false">SUM(I23:I24)</f>
        <v>0</v>
      </c>
    </row>
    <row r="26" customFormat="false" ht="21.75" hidden="false" customHeight="true" outlineLevel="0" collapsed="false">
      <c r="A26" s="7" t="s">
        <v>72</v>
      </c>
      <c r="B26" s="8" t="s">
        <v>73</v>
      </c>
      <c r="C26" s="17" t="s">
        <v>74</v>
      </c>
      <c r="D26" s="10" t="n">
        <v>15</v>
      </c>
      <c r="E26" s="11" t="n">
        <v>2000</v>
      </c>
      <c r="F26" s="12" t="s">
        <v>75</v>
      </c>
      <c r="G26" s="10" t="n">
        <f aca="false">D26*E26</f>
        <v>30000</v>
      </c>
      <c r="H26" s="10" t="n">
        <v>30000</v>
      </c>
      <c r="I26" s="10" t="n">
        <f aca="false">G26-H26</f>
        <v>0</v>
      </c>
    </row>
    <row r="27" customFormat="false" ht="21.75" hidden="false" customHeight="true" outlineLevel="0" collapsed="false">
      <c r="A27" s="7" t="s">
        <v>76</v>
      </c>
      <c r="B27" s="8" t="s">
        <v>77</v>
      </c>
      <c r="C27" s="17" t="s">
        <v>78</v>
      </c>
      <c r="D27" s="10" t="n">
        <v>250</v>
      </c>
      <c r="E27" s="11" t="n">
        <v>400</v>
      </c>
      <c r="F27" s="12" t="s">
        <v>75</v>
      </c>
      <c r="G27" s="10" t="n">
        <f aca="false">D27*E27</f>
        <v>100000</v>
      </c>
      <c r="H27" s="10" t="n">
        <v>100000</v>
      </c>
      <c r="I27" s="10" t="n">
        <f aca="false">G27-H27</f>
        <v>0</v>
      </c>
    </row>
    <row r="28" customFormat="false" ht="21.75" hidden="false" customHeight="true" outlineLevel="0" collapsed="false">
      <c r="A28" s="7" t="s">
        <v>79</v>
      </c>
      <c r="B28" s="8" t="s">
        <v>80</v>
      </c>
      <c r="C28" s="9" t="s">
        <v>81</v>
      </c>
      <c r="D28" s="10" t="n">
        <v>40000</v>
      </c>
      <c r="E28" s="11" t="n">
        <v>1</v>
      </c>
      <c r="F28" s="12" t="s">
        <v>82</v>
      </c>
      <c r="G28" s="10" t="n">
        <f aca="false">D28*E28</f>
        <v>40000</v>
      </c>
      <c r="H28" s="10" t="n">
        <v>40000</v>
      </c>
      <c r="I28" s="10" t="n">
        <f aca="false">G28-H28</f>
        <v>0</v>
      </c>
    </row>
    <row r="29" customFormat="false" ht="19.5" hidden="false" customHeight="true" outlineLevel="0" collapsed="false">
      <c r="A29" s="13" t="s">
        <v>83</v>
      </c>
      <c r="B29" s="14" t="s">
        <v>84</v>
      </c>
      <c r="C29" s="15"/>
      <c r="D29" s="15"/>
      <c r="E29" s="15"/>
      <c r="F29" s="15"/>
      <c r="G29" s="16" t="n">
        <f aca="false">SUM(G26:G28)</f>
        <v>170000</v>
      </c>
      <c r="H29" s="16" t="n">
        <f aca="false">SUM(H26:H28)</f>
        <v>170000</v>
      </c>
      <c r="I29" s="16" t="n">
        <f aca="false">SUM(I26:I28)</f>
        <v>0</v>
      </c>
    </row>
    <row r="30" customFormat="false" ht="21.75" hidden="false" customHeight="true" outlineLevel="0" collapsed="false">
      <c r="A30" s="7" t="s">
        <v>85</v>
      </c>
      <c r="B30" s="8" t="s">
        <v>86</v>
      </c>
      <c r="C30" s="9" t="s">
        <v>87</v>
      </c>
      <c r="D30" s="10" t="n">
        <v>12000</v>
      </c>
      <c r="E30" s="11" t="n">
        <v>1</v>
      </c>
      <c r="F30" s="12" t="s">
        <v>54</v>
      </c>
      <c r="G30" s="10" t="n">
        <f aca="false">D30*E30</f>
        <v>12000</v>
      </c>
      <c r="H30" s="10" t="n">
        <v>12000</v>
      </c>
      <c r="I30" s="10" t="n">
        <f aca="false">G30-H30</f>
        <v>0</v>
      </c>
    </row>
    <row r="31" customFormat="false" ht="21.75" hidden="false" customHeight="true" outlineLevel="0" collapsed="false">
      <c r="A31" s="7" t="s">
        <v>88</v>
      </c>
      <c r="B31" s="8" t="s">
        <v>89</v>
      </c>
      <c r="C31" s="17" t="s">
        <v>90</v>
      </c>
      <c r="D31" s="10" t="n">
        <v>10000</v>
      </c>
      <c r="E31" s="11" t="n">
        <v>1</v>
      </c>
      <c r="F31" s="12" t="s">
        <v>54</v>
      </c>
      <c r="G31" s="10" t="n">
        <f aca="false">D31*E31</f>
        <v>10000</v>
      </c>
      <c r="H31" s="10" t="n">
        <v>10000</v>
      </c>
      <c r="I31" s="10" t="n">
        <f aca="false">G31-H31</f>
        <v>0</v>
      </c>
    </row>
    <row r="32" customFormat="false" ht="21.75" hidden="false" customHeight="true" outlineLevel="0" collapsed="false">
      <c r="A32" s="7" t="s">
        <v>91</v>
      </c>
      <c r="B32" s="8" t="s">
        <v>92</v>
      </c>
      <c r="C32" s="9" t="s">
        <v>93</v>
      </c>
      <c r="D32" s="10" t="n">
        <v>10000</v>
      </c>
      <c r="E32" s="11" t="n">
        <v>1</v>
      </c>
      <c r="F32" s="12" t="s">
        <v>54</v>
      </c>
      <c r="G32" s="10" t="n">
        <f aca="false">D32*E32</f>
        <v>10000</v>
      </c>
      <c r="H32" s="10" t="n">
        <v>10000</v>
      </c>
      <c r="I32" s="10" t="n">
        <f aca="false">G32-H32</f>
        <v>0</v>
      </c>
    </row>
    <row r="33" customFormat="false" ht="21.75" hidden="false" customHeight="true" outlineLevel="0" collapsed="false">
      <c r="A33" s="7" t="s">
        <v>94</v>
      </c>
      <c r="B33" s="8" t="s">
        <v>95</v>
      </c>
      <c r="C33" s="17" t="s">
        <v>96</v>
      </c>
      <c r="D33" s="10" t="n">
        <v>2000</v>
      </c>
      <c r="E33" s="11" t="n">
        <v>1</v>
      </c>
      <c r="F33" s="12" t="s">
        <v>54</v>
      </c>
      <c r="G33" s="10" t="n">
        <f aca="false">D33*E33</f>
        <v>2000</v>
      </c>
      <c r="H33" s="10" t="n">
        <v>2000</v>
      </c>
      <c r="I33" s="10" t="n">
        <f aca="false">G33-H33</f>
        <v>0</v>
      </c>
    </row>
    <row r="34" customFormat="false" ht="19.5" hidden="false" customHeight="true" outlineLevel="0" collapsed="false">
      <c r="A34" s="13" t="s">
        <v>97</v>
      </c>
      <c r="B34" s="14" t="s">
        <v>98</v>
      </c>
      <c r="C34" s="15"/>
      <c r="D34" s="15"/>
      <c r="E34" s="15"/>
      <c r="F34" s="15"/>
      <c r="G34" s="16" t="n">
        <f aca="false">SUM(G30:G33)</f>
        <v>34000</v>
      </c>
      <c r="H34" s="16" t="n">
        <f aca="false">SUM(H30:H33)</f>
        <v>34000</v>
      </c>
      <c r="I34" s="16" t="n">
        <f aca="false">SUM(I30:I33)</f>
        <v>0</v>
      </c>
    </row>
    <row r="35" customFormat="false" ht="21.75" hidden="false" customHeight="true" outlineLevel="0" collapsed="false">
      <c r="A35" s="7" t="s">
        <v>99</v>
      </c>
      <c r="B35" s="8" t="s">
        <v>100</v>
      </c>
      <c r="C35" s="9" t="s">
        <v>101</v>
      </c>
      <c r="D35" s="10" t="n">
        <v>10000</v>
      </c>
      <c r="E35" s="11" t="n">
        <v>3</v>
      </c>
      <c r="F35" s="12" t="s">
        <v>102</v>
      </c>
      <c r="G35" s="10" t="n">
        <f aca="false">D35*E35</f>
        <v>30000</v>
      </c>
      <c r="H35" s="10" t="n">
        <v>0</v>
      </c>
      <c r="I35" s="10" t="n">
        <f aca="false">G35-H35</f>
        <v>30000</v>
      </c>
    </row>
    <row r="36" customFormat="false" ht="21.75" hidden="false" customHeight="true" outlineLevel="0" collapsed="false">
      <c r="A36" s="7" t="s">
        <v>103</v>
      </c>
      <c r="B36" s="8" t="s">
        <v>104</v>
      </c>
      <c r="C36" s="17" t="s">
        <v>90</v>
      </c>
      <c r="D36" s="10" t="n">
        <v>10000</v>
      </c>
      <c r="E36" s="11" t="n">
        <v>1</v>
      </c>
      <c r="F36" s="12" t="s">
        <v>54</v>
      </c>
      <c r="G36" s="10" t="n">
        <f aca="false">D36*E36</f>
        <v>10000</v>
      </c>
      <c r="H36" s="10" t="n">
        <v>0</v>
      </c>
      <c r="I36" s="10" t="n">
        <f aca="false">G36-H36</f>
        <v>10000</v>
      </c>
    </row>
    <row r="37" customFormat="false" ht="19.5" hidden="false" customHeight="true" outlineLevel="0" collapsed="false">
      <c r="A37" s="13" t="s">
        <v>105</v>
      </c>
      <c r="B37" s="14" t="s">
        <v>106</v>
      </c>
      <c r="C37" s="15"/>
      <c r="D37" s="15"/>
      <c r="E37" s="15"/>
      <c r="F37" s="15"/>
      <c r="G37" s="16" t="n">
        <f aca="false">SUM(G35:G36)</f>
        <v>40000</v>
      </c>
      <c r="H37" s="16" t="n">
        <f aca="false">SUM(H35:H36)</f>
        <v>0</v>
      </c>
      <c r="I37" s="16" t="n">
        <f aca="false">SUM(I35:I36)</f>
        <v>40000</v>
      </c>
    </row>
    <row r="38" customFormat="false" ht="25.5" hidden="false" customHeight="true" outlineLevel="0" collapsed="false">
      <c r="A38" s="18" t="s">
        <v>107</v>
      </c>
      <c r="B38" s="18"/>
      <c r="C38" s="18"/>
      <c r="D38" s="18"/>
      <c r="E38" s="18"/>
      <c r="F38" s="18"/>
      <c r="G38" s="19" t="n">
        <f aca="false">G10+G13+G16+G22+G25+G29+G34+G37</f>
        <v>1360000</v>
      </c>
      <c r="H38" s="19" t="n">
        <f aca="false">H10+H13+H16+H22+H25+H29+H34+H37</f>
        <v>1000000</v>
      </c>
      <c r="I38" s="19" t="n">
        <f aca="false">I10+I13+I16+I22+I25+I29+I34+I37</f>
        <v>360000</v>
      </c>
    </row>
    <row r="40" customFormat="false" ht="15" hidden="false" customHeight="false" outlineLevel="0" collapsed="false">
      <c r="A40" s="3" t="s">
        <v>108</v>
      </c>
      <c r="I40" s="4" t="s">
        <v>4</v>
      </c>
    </row>
    <row r="41" customFormat="false" ht="15" hidden="false" customHeight="false" outlineLevel="0" collapsed="false">
      <c r="A41" s="20" t="s">
        <v>5</v>
      </c>
      <c r="B41" s="21" t="s">
        <v>109</v>
      </c>
      <c r="C41" s="21" t="s">
        <v>110</v>
      </c>
      <c r="D41" s="21"/>
      <c r="E41" s="21"/>
      <c r="F41" s="21"/>
      <c r="G41" s="21" t="s">
        <v>11</v>
      </c>
      <c r="H41" s="21"/>
      <c r="I41" s="21"/>
    </row>
    <row r="42" customFormat="false" ht="19.5" hidden="false" customHeight="true" outlineLevel="0" collapsed="false">
      <c r="A42" s="7" t="n">
        <v>1</v>
      </c>
      <c r="B42" s="8" t="s">
        <v>111</v>
      </c>
      <c r="C42" s="9" t="s">
        <v>112</v>
      </c>
      <c r="D42" s="9"/>
      <c r="E42" s="9"/>
      <c r="F42" s="9"/>
      <c r="G42" s="10" t="n">
        <v>1000000</v>
      </c>
      <c r="H42" s="10"/>
      <c r="I42" s="10"/>
    </row>
    <row r="43" customFormat="false" ht="19.5" hidden="false" customHeight="true" outlineLevel="0" collapsed="false">
      <c r="A43" s="7" t="n">
        <v>2</v>
      </c>
      <c r="B43" s="8" t="s">
        <v>113</v>
      </c>
      <c r="C43" s="17" t="s">
        <v>114</v>
      </c>
      <c r="D43" s="17"/>
      <c r="E43" s="17"/>
      <c r="F43" s="17"/>
      <c r="G43" s="22" t="n">
        <v>288000</v>
      </c>
      <c r="H43" s="22"/>
      <c r="I43" s="22"/>
    </row>
    <row r="44" customFormat="false" ht="19.5" hidden="false" customHeight="true" outlineLevel="0" collapsed="false">
      <c r="A44" s="7" t="n">
        <v>3</v>
      </c>
      <c r="B44" s="8" t="s">
        <v>115</v>
      </c>
      <c r="C44" s="17" t="s">
        <v>116</v>
      </c>
      <c r="D44" s="17"/>
      <c r="E44" s="17"/>
      <c r="F44" s="17"/>
      <c r="G44" s="22" t="n">
        <v>50000</v>
      </c>
      <c r="H44" s="22"/>
      <c r="I44" s="22"/>
    </row>
    <row r="45" customFormat="false" ht="19.5" hidden="false" customHeight="true" outlineLevel="0" collapsed="false">
      <c r="A45" s="7" t="n">
        <v>4</v>
      </c>
      <c r="B45" s="8" t="s">
        <v>117</v>
      </c>
      <c r="C45" s="17" t="s">
        <v>118</v>
      </c>
      <c r="D45" s="17"/>
      <c r="E45" s="17"/>
      <c r="F45" s="17"/>
      <c r="G45" s="22" t="n">
        <v>22000</v>
      </c>
      <c r="H45" s="22"/>
      <c r="I45" s="22"/>
    </row>
    <row r="46" customFormat="false" ht="15" hidden="false" customHeight="false" outlineLevel="0" collapsed="false">
      <c r="A46" s="23" t="s">
        <v>119</v>
      </c>
      <c r="B46" s="23"/>
      <c r="C46" s="23"/>
      <c r="D46" s="23"/>
      <c r="E46" s="23"/>
      <c r="F46" s="23"/>
      <c r="G46" s="24" t="n">
        <f aca="false">SUM(G42:G45)</f>
        <v>1360000</v>
      </c>
      <c r="H46" s="24"/>
      <c r="I46" s="24"/>
    </row>
    <row r="47" customFormat="false" ht="15" hidden="false" customHeight="false" outlineLevel="0" collapsed="false">
      <c r="A47" s="14" t="s">
        <v>120</v>
      </c>
      <c r="B47" s="14"/>
      <c r="C47" s="14"/>
      <c r="D47" s="14"/>
      <c r="E47" s="14"/>
      <c r="F47" s="14"/>
      <c r="G47" s="25" t="n">
        <f aca="false">G46-G38</f>
        <v>0</v>
      </c>
      <c r="H47" s="25"/>
      <c r="I47" s="25"/>
    </row>
    <row r="49" customFormat="false" ht="15" hidden="false" customHeight="false" outlineLevel="0" collapsed="false">
      <c r="A49" s="26" t="s">
        <v>121</v>
      </c>
      <c r="B49" s="26"/>
      <c r="C49" s="26"/>
      <c r="D49" s="26"/>
      <c r="E49" s="26"/>
      <c r="F49" s="26"/>
      <c r="G49" s="26"/>
      <c r="H49" s="26"/>
      <c r="I49" s="26"/>
    </row>
    <row r="50" customFormat="false" ht="14.15" hidden="false" customHeight="false" outlineLevel="0" collapsed="false">
      <c r="A50" s="27" t="s">
        <v>122</v>
      </c>
      <c r="B50" s="27"/>
      <c r="C50" s="27"/>
      <c r="D50" s="27"/>
      <c r="E50" s="27"/>
      <c r="F50" s="27"/>
      <c r="G50" s="27"/>
      <c r="H50" s="27"/>
      <c r="I50" s="27"/>
    </row>
    <row r="51" customFormat="false" ht="15" hidden="false" customHeight="false" outlineLevel="0" collapsed="false">
      <c r="A51" s="27" t="s">
        <v>123</v>
      </c>
      <c r="B51" s="27"/>
      <c r="C51" s="27"/>
      <c r="D51" s="27"/>
      <c r="E51" s="27"/>
      <c r="F51" s="27"/>
      <c r="G51" s="27"/>
      <c r="H51" s="27"/>
      <c r="I51" s="27"/>
    </row>
    <row r="52" customFormat="false" ht="15" hidden="false" customHeight="false" outlineLevel="0" collapsed="false">
      <c r="A52" s="27" t="s">
        <v>124</v>
      </c>
      <c r="B52" s="27"/>
      <c r="C52" s="27"/>
      <c r="D52" s="27"/>
      <c r="E52" s="27"/>
      <c r="F52" s="27"/>
      <c r="G52" s="27"/>
      <c r="H52" s="27"/>
      <c r="I52" s="27"/>
    </row>
    <row r="53" customFormat="false" ht="14.15" hidden="false" customHeight="false" outlineLevel="0" collapsed="false">
      <c r="A53" s="27" t="s">
        <v>125</v>
      </c>
      <c r="B53" s="27"/>
      <c r="C53" s="27"/>
      <c r="D53" s="27"/>
      <c r="E53" s="27"/>
      <c r="F53" s="27"/>
      <c r="G53" s="27"/>
      <c r="H53" s="27"/>
      <c r="I53" s="27"/>
    </row>
    <row r="54" customFormat="false" ht="14.15" hidden="false" customHeight="false" outlineLevel="0" collapsed="false">
      <c r="A54" s="27" t="s">
        <v>126</v>
      </c>
      <c r="B54" s="27"/>
      <c r="C54" s="27"/>
      <c r="D54" s="27"/>
      <c r="E54" s="27"/>
      <c r="F54" s="27"/>
      <c r="G54" s="27"/>
      <c r="H54" s="27"/>
      <c r="I54" s="27"/>
    </row>
    <row r="55" customFormat="false" ht="15" hidden="false" customHeight="false" outlineLevel="0" collapsed="false">
      <c r="A55" s="27" t="s">
        <v>127</v>
      </c>
      <c r="B55" s="27"/>
      <c r="C55" s="27"/>
      <c r="D55" s="27"/>
      <c r="E55" s="27"/>
      <c r="F55" s="27"/>
      <c r="G55" s="27"/>
      <c r="H55" s="27"/>
      <c r="I55" s="27"/>
    </row>
  </sheetData>
  <mergeCells count="25">
    <mergeCell ref="A1:I1"/>
    <mergeCell ref="A2:I2"/>
    <mergeCell ref="A3:I3"/>
    <mergeCell ref="A38:F38"/>
    <mergeCell ref="C41:F41"/>
    <mergeCell ref="G41:I41"/>
    <mergeCell ref="C42:F42"/>
    <mergeCell ref="G42:I42"/>
    <mergeCell ref="C43:F43"/>
    <mergeCell ref="G43:I43"/>
    <mergeCell ref="C44:F44"/>
    <mergeCell ref="G44:I44"/>
    <mergeCell ref="C45:F45"/>
    <mergeCell ref="G45:I45"/>
    <mergeCell ref="A46:F46"/>
    <mergeCell ref="G46:I46"/>
    <mergeCell ref="A47:F47"/>
    <mergeCell ref="G47:I47"/>
    <mergeCell ref="A49:I49"/>
    <mergeCell ref="A50:I50"/>
    <mergeCell ref="A51:I51"/>
    <mergeCell ref="A52:I52"/>
    <mergeCell ref="A53:I53"/>
    <mergeCell ref="A54:I54"/>
    <mergeCell ref="A55:I55"/>
  </mergeCell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2026-09-06T05:55:10Z</dcterms:created>
  <dc:creator>openpyxl</dc:creator>
  <dc:description/>
  <dc:language>en-US</dc:language>
  <cp:lastModifiedBy/>
  <dcterms:modified xsi:type="dcterms:W3CDTF">2026-09-06T05:55:10Z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